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Desarrollo Notebook\GestionCasinoADM205\Actualizacion\"/>
    </mc:Choice>
  </mc:AlternateContent>
  <xr:revisionPtr revIDLastSave="0" documentId="8_{1E5C81C8-654B-4591-A8EA-F84C4B8F0F45}" xr6:coauthVersionLast="47" xr6:coauthVersionMax="47" xr10:uidLastSave="{00000000-0000-0000-0000-000000000000}"/>
  <bookViews>
    <workbookView xWindow="20370" yWindow="-120" windowWidth="20730" windowHeight="11160" activeTab="1" xr2:uid="{00000000-000D-0000-FFFF-FFFF00000000}"/>
  </bookViews>
  <sheets>
    <sheet name="Plan de Trabajo" sheetId="1" r:id="rId1"/>
    <sheet name="Incidentes del Proyecto" sheetId="3" r:id="rId2"/>
    <sheet name="Consolidado de Errores" sheetId="4" r:id="rId3"/>
  </sheets>
  <definedNames>
    <definedName name="_xlnm.Print_Area" localSheetId="0">'Plan de Trabajo'!$A$1:$J$41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<sst xmlns="http://schemas.openxmlformats.org/spreadsheetml/2006/main" count="236" uniqueCount="192">
  <si>
    <t>No.</t>
  </si>
  <si>
    <t>TEMA</t>
  </si>
  <si>
    <t>ESTADO</t>
  </si>
  <si>
    <t>FECHA INICIO BASE</t>
  </si>
  <si>
    <t>FECHA FIN
BASE</t>
  </si>
  <si>
    <t>RESPONSABLE</t>
  </si>
  <si>
    <t>% Avance</t>
  </si>
  <si>
    <t>Observación</t>
  </si>
  <si>
    <t>Equipo Proyecto</t>
  </si>
  <si>
    <t>FECHA INICIO REAL</t>
  </si>
  <si>
    <t>FECHA FIN REAL</t>
  </si>
  <si>
    <t>Actividad</t>
  </si>
  <si>
    <t>Responsable</t>
  </si>
  <si>
    <t>Issue</t>
  </si>
  <si>
    <t>##</t>
  </si>
  <si>
    <t>No. Actividad</t>
  </si>
  <si>
    <t>Terminado</t>
  </si>
  <si>
    <t>3 Terceros: N/A</t>
  </si>
  <si>
    <t>Configurar Accesos por Citrix</t>
  </si>
  <si>
    <t>Generar Listado de verificación</t>
  </si>
  <si>
    <t>Cristian Araya</t>
  </si>
  <si>
    <t>Validación Migración SGP ADM SQL2019</t>
  </si>
  <si>
    <t>1 Cliente interno: TI</t>
  </si>
  <si>
    <t>2 Informática: Cristian Araya</t>
  </si>
  <si>
    <t>Mantenedores</t>
  </si>
  <si>
    <t>N/A</t>
  </si>
  <si>
    <t>Mantenedor "General"</t>
  </si>
  <si>
    <t>Mantenedor informe</t>
  </si>
  <si>
    <t>Mantenedor Minutas (Diwo)</t>
  </si>
  <si>
    <t>Mantenedor Minutas (Pedido)</t>
  </si>
  <si>
    <t>Mantenedor Minutas (Actualizaciones Varias)</t>
  </si>
  <si>
    <t>mantenedor Minuta (recetas, minutas bloque, producto, tabla gramaje)</t>
  </si>
  <si>
    <t>Mantenedor Minutas (Otras Funcionalidades)</t>
  </si>
  <si>
    <t>Mantenedor Servicio Logísticos</t>
  </si>
  <si>
    <t>Unidad Stock</t>
  </si>
  <si>
    <t>E.- 5.3</t>
  </si>
  <si>
    <t>E.- 5.4</t>
  </si>
  <si>
    <t>E.- 9.3</t>
  </si>
  <si>
    <t>No Permite Buscar Por Código</t>
  </si>
  <si>
    <t>E.11.3</t>
  </si>
  <si>
    <t>E.- 11.6</t>
  </si>
  <si>
    <t>E.- 12.6</t>
  </si>
  <si>
    <t>E.- 12.3</t>
  </si>
  <si>
    <t>E.- 31.1</t>
  </si>
  <si>
    <t>E.- 31.2</t>
  </si>
  <si>
    <t>E.- 31.3</t>
  </si>
  <si>
    <t>E.- 31.6</t>
  </si>
  <si>
    <t>E.- 31.8</t>
  </si>
  <si>
    <t>E.- 31.9</t>
  </si>
  <si>
    <t>E.- 31.10</t>
  </si>
  <si>
    <t>E.- 31.11</t>
  </si>
  <si>
    <t>Ubicación Imagen</t>
  </si>
  <si>
    <t>carpeta General/5.- Unidad Stock</t>
  </si>
  <si>
    <t>carpeta General/9.- Cuenta Contable</t>
  </si>
  <si>
    <t>E.- 46</t>
  </si>
  <si>
    <t>carpeta General/ 11.- Categoría Dietética</t>
  </si>
  <si>
    <t>carpeta General/ 12.- Tipo de Plato</t>
  </si>
  <si>
    <t>carpeta General/ 31.- Casino</t>
  </si>
  <si>
    <t>carpeta General/ 32.-Parámetro Despachos</t>
  </si>
  <si>
    <t>carpeta General/ 33.-Parámetro Servicio (Q) Principal</t>
  </si>
  <si>
    <t>carpeta General/ 34.- Parámetro Inventario Calendarizado</t>
  </si>
  <si>
    <t>carpeta General/ 35.- Parámetro Pvta. Cliente Calendarizado</t>
  </si>
  <si>
    <t>carpeta General/ 37.- Servicio</t>
  </si>
  <si>
    <t>carpeta General/ 46.-Retención en la Fuente</t>
  </si>
  <si>
    <t>carpeta General/ 47.- Retención ICA</t>
  </si>
  <si>
    <t>No Permite la búsqueda por Código</t>
  </si>
  <si>
    <t>No Permite la búsqueda por Nombre</t>
  </si>
  <si>
    <t>No Permite Eliminar la Categoría</t>
  </si>
  <si>
    <t>No se puede Cargar Sellos, sin este dato no funciona el mantenedor</t>
  </si>
  <si>
    <t>No permite agregar nuevo Casino al listado</t>
  </si>
  <si>
    <t>No se puede Eliminar del Listado a un Casino</t>
  </si>
  <si>
    <t>Agregar Nuevo Día Feriado para un Casino, error con paramero Sello</t>
  </si>
  <si>
    <t>No se pueden agregar actividades diarias</t>
  </si>
  <si>
    <t>No se puede visualizar el detalle completo de un casino</t>
  </si>
  <si>
    <t>No permite realizar Parametrización de Código de Barras</t>
  </si>
  <si>
    <t>No Permite Modificar Calendario</t>
  </si>
  <si>
    <t>No permite Modificar Calendario, problemas con sello Casino</t>
  </si>
  <si>
    <t>No permite agregar estructura de Servicio</t>
  </si>
  <si>
    <t>E.- 47.7</t>
  </si>
  <si>
    <t>E.- 47.4</t>
  </si>
  <si>
    <t>E.- 37.5</t>
  </si>
  <si>
    <t>E.- 35.3</t>
  </si>
  <si>
    <t>E.- 34.2</t>
  </si>
  <si>
    <t>E.- 33.1</t>
  </si>
  <si>
    <t>E.- 32.1 / E.- 32.5</t>
  </si>
  <si>
    <t>No se puede activar parámetros de stock</t>
  </si>
  <si>
    <t>No Permite Visualizar y/o Modificar Parámetro Despacho</t>
  </si>
  <si>
    <t>No permite Modificar los parámetros, no se encuentra Sello Casino</t>
  </si>
  <si>
    <t>Error al seleccionar algún botón "Se requiere Objeto"</t>
  </si>
  <si>
    <t>No permite Búsqueda por Nombre</t>
  </si>
  <si>
    <t>General</t>
  </si>
  <si>
    <t>Minuta</t>
  </si>
  <si>
    <t>Informe</t>
  </si>
  <si>
    <t>M</t>
  </si>
  <si>
    <t>E</t>
  </si>
  <si>
    <t>Casino</t>
  </si>
  <si>
    <t>Cuenta Contable</t>
  </si>
  <si>
    <t>Categoría Dietética</t>
  </si>
  <si>
    <t>Tipo de Plato</t>
  </si>
  <si>
    <t>Retención ICA</t>
  </si>
  <si>
    <t>Parámetro Despachos</t>
  </si>
  <si>
    <t>Parámetro Servicio (Q) Principal</t>
  </si>
  <si>
    <t>Parámetro Inventario Calendarizado</t>
  </si>
  <si>
    <t>Parámetro Pvta. Cliente Calendarizado</t>
  </si>
  <si>
    <t>Servicio</t>
  </si>
  <si>
    <t>Retención en la Fuente</t>
  </si>
  <si>
    <t>Minutas</t>
  </si>
  <si>
    <t xml:space="preserve">Mantenedores con Error </t>
  </si>
  <si>
    <t xml:space="preserve">Errores en total </t>
  </si>
  <si>
    <t>Menú</t>
  </si>
  <si>
    <t>M.- 9</t>
  </si>
  <si>
    <t>M.- 27</t>
  </si>
  <si>
    <t>M.- 29</t>
  </si>
  <si>
    <t>M.- 30</t>
  </si>
  <si>
    <t>I</t>
  </si>
  <si>
    <t>I.- 6</t>
  </si>
  <si>
    <t>I.- 12</t>
  </si>
  <si>
    <t>I.- 3.2</t>
  </si>
  <si>
    <t>Planificación Minuta Bloque</t>
  </si>
  <si>
    <t>Informe / 3.-Planificación Minuta Bloque</t>
  </si>
  <si>
    <t>Informe / 5.- Consumo Ingredientes Minuta Bloque</t>
  </si>
  <si>
    <t>Consumo Ingredientes Minuta Bloque</t>
  </si>
  <si>
    <t>I.- 5.1</t>
  </si>
  <si>
    <t>No ser puede buscar por Org. Compras, faltan datos</t>
  </si>
  <si>
    <t>Faltan datos en Org. Compras, no se puede Seguir</t>
  </si>
  <si>
    <t>Informe / 6.- Exportar Excel Minuta Bloque</t>
  </si>
  <si>
    <t>Exportar Excel Minuta Bloque</t>
  </si>
  <si>
    <t>Planificación Minuta Sansis</t>
  </si>
  <si>
    <t>Informe / 12.- Planificación Minuta Sansis</t>
  </si>
  <si>
    <t>no se puede buscar Planificación, error en Consulta a BD ORDER BY y GROUP BY</t>
  </si>
  <si>
    <t>M.- 3.6</t>
  </si>
  <si>
    <t>Minuta /  3.- Proveedores</t>
  </si>
  <si>
    <t>Proveedores</t>
  </si>
  <si>
    <t>No se puede eliminar o desactivar a los proveedores</t>
  </si>
  <si>
    <t>M.- 5.1</t>
  </si>
  <si>
    <t>M.- 5.3</t>
  </si>
  <si>
    <t>Lista de Precio</t>
  </si>
  <si>
    <t>Minuta /   5.- Lista de Precio</t>
  </si>
  <si>
    <t>M.- 5.7</t>
  </si>
  <si>
    <t>M.- 5.8</t>
  </si>
  <si>
    <t>No se puede Buscar por Correlativo</t>
  </si>
  <si>
    <t>No se puede Agregar una nueva lista de precios</t>
  </si>
  <si>
    <t>No se puede Modificar una Lista de Precios</t>
  </si>
  <si>
    <t>No se puede eliminar una lista de Precios</t>
  </si>
  <si>
    <t>Receta</t>
  </si>
  <si>
    <t>No se puede Cargar el Mantenedor, faltan Datos</t>
  </si>
  <si>
    <t>Minuta / 10.- Generación Archivos Planos Recetas</t>
  </si>
  <si>
    <t>Minuta / 9.- Recetas</t>
  </si>
  <si>
    <t>M.- 10.9</t>
  </si>
  <si>
    <t>Generación Archivos Planos Recetas</t>
  </si>
  <si>
    <t>No se puede Generar Archivos Planos, la acción no termina de procesar</t>
  </si>
  <si>
    <t>Minuta / 15.- Borrar Sitios Masivos</t>
  </si>
  <si>
    <t xml:space="preserve">Minuta / </t>
  </si>
  <si>
    <t>no se puede Buscar Inormación, faltan datos en Org. Compras</t>
  </si>
  <si>
    <t>Minuta / 16.- Copia Minuta Bloque Estándar x Ceco</t>
  </si>
  <si>
    <t>Copia Minuta Bloque Estándar x Ceco</t>
  </si>
  <si>
    <t>Borrar Sitios Masivos</t>
  </si>
  <si>
    <t>No se puede Ralizar Copia de  Minuta bloque</t>
  </si>
  <si>
    <t>M.- 15.1</t>
  </si>
  <si>
    <t>M.- 16.3</t>
  </si>
  <si>
    <t>M.- 23.1</t>
  </si>
  <si>
    <t>Minuta / 23.- Raciones Ponderaciones Excel</t>
  </si>
  <si>
    <t>Raciones Ponderaciones Excel</t>
  </si>
  <si>
    <t>No se puede Obtener Planillapara seguir con la pruebas</t>
  </si>
  <si>
    <t>Cambiar Pedido Proyecto a CD o PAP</t>
  </si>
  <si>
    <t>Minuta / 26.- Cambiar Pedido Proyecto a CD o PAP</t>
  </si>
  <si>
    <t>M.- 26.1</t>
  </si>
  <si>
    <t xml:space="preserve"> Cambiar Estado Pedido</t>
  </si>
  <si>
    <t>Minuta / 27.- Cambiar Estado Pedido</t>
  </si>
  <si>
    <t>No se puede Cambiar Estado de los Convenios, Faltan datos en Org. Compras</t>
  </si>
  <si>
    <t>Asignar Lista Convenios Ceco Propuesta</t>
  </si>
  <si>
    <t>Minuta / 28.- Asignar Lista Convenios Ceco Propuesta</t>
  </si>
  <si>
    <t>Minuta / 29.- Eliminar Carros de Compras</t>
  </si>
  <si>
    <t>Eliminar Carros de Compras</t>
  </si>
  <si>
    <t>M.- 28.1</t>
  </si>
  <si>
    <t>M.- 28.2</t>
  </si>
  <si>
    <t>Minuta / 30.- Cambio de Recetas Minuta Bloque</t>
  </si>
  <si>
    <t>Cambio de Recetas Minuta Bloque</t>
  </si>
  <si>
    <t>Exportar Tabla Gramaje Bach - Input</t>
  </si>
  <si>
    <t>Minuta / 31.- Exportar Tabla Gramaje Bach - Input</t>
  </si>
  <si>
    <t>Minuta / 38.- Generación Pedido</t>
  </si>
  <si>
    <t>Generación Pedido</t>
  </si>
  <si>
    <t>Consultar convenios Pel</t>
  </si>
  <si>
    <t>Minuta / 45.- Consultar convenios Pel</t>
  </si>
  <si>
    <t>M.- 45.2</t>
  </si>
  <si>
    <t>Error al actualizar lista de convenios Pel</t>
  </si>
  <si>
    <t>No se reconoce formato de documento al exportar XLSX o XLS</t>
  </si>
  <si>
    <t>M.- 38.7</t>
  </si>
  <si>
    <t>M.- 31.7</t>
  </si>
  <si>
    <t>No se puede exportar Excel, se excede maximo de datos</t>
  </si>
  <si>
    <t>Error en nombre de columna</t>
  </si>
  <si>
    <t>No se puede obtener Planilla para seguir con la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</si>
</sst>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9" fontId="6" fillId="0" borderId="1" xfId="1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0" fillId="0" borderId="0" xfId="0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top" wrapText="1"/>
    </xf>
    <xf numFmtId="0" fontId="0" fillId="0" borderId="0" xfId="0" applyFont="1" applyBorder="1" applyAlignment="1">
      <alignment horizontal="right" vertical="top"/>
    </xf>
    <xf numFmtId="0" fontId="0" fillId="2" borderId="0" xfId="0" applyFont="1" applyFill="1" applyBorder="1" applyAlignment="1">
      <alignment horizontal="center" vertical="top"/>
    </xf>
    <xf numFmtId="0" fontId="0" fillId="2" borderId="5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14" fontId="6" fillId="0" borderId="0" xfId="0" applyNumberFormat="1" applyFont="1" applyBorder="1" applyAlignment="1">
      <alignment horizontal="center" vertical="top" wrapText="1"/>
    </xf>
    <xf numFmtId="9" fontId="6" fillId="0" borderId="0" xfId="1" applyFont="1" applyBorder="1" applyAlignment="1">
      <alignment horizontal="center" vertical="top"/>
    </xf>
    <xf numFmtId="0" fontId="6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16" fontId="6" fillId="0" borderId="0" xfId="0" applyNumberFormat="1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4" fontId="6" fillId="0" borderId="1" xfId="0" applyNumberFormat="1" applyFont="1" applyFill="1" applyBorder="1" applyAlignment="1">
      <alignment horizontal="center" vertical="top" wrapText="1"/>
    </xf>
    <xf numFmtId="0" fontId="0" fillId="5" borderId="0" xfId="0" applyFill="1" applyBorder="1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2" xfId="0" applyBorder="1"/>
    <xf numFmtId="0" fontId="0" fillId="0" borderId="10" xfId="0" applyBorder="1"/>
    <xf numFmtId="0" fontId="0" fillId="0" borderId="11" xfId="0" applyFill="1" applyBorder="1" applyAlignment="1">
      <alignment horizontal="center" vertical="center"/>
    </xf>
    <xf numFmtId="0" fontId="0" fillId="0" borderId="9" xfId="0" applyBorder="1"/>
    <xf numFmtId="0" fontId="0" fillId="0" borderId="13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758824</xdr:colOff>
      <xdr:row>0</xdr:row>
      <xdr:rowOff>822325</xdr:rowOff>
    </xdr:from>
    <xdr:to>
      <xdr:col>10</xdr:col>
      <xdr:colOff>828675</xdr:colOff>
      <xdr:row>7</xdr:row>
      <xdr:rowOff>4233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964711-2192-4A40-BC49-0A8A0ED50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2574" y="822325"/>
          <a:ext cx="3079751" cy="1210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80B4E-664B-4A36-AA48-BAA773A5D6D4}" name="Tabla1" displayName="Tabla1" ref="A1:F1048574" totalsRowShown="0" headerRowDxfId="0">
  <tableColumns count="6">
    <tableColumn id="1" xr3:uid="{B0387219-94D1-4F70-A1C7-68EE5AA7EA80}" name="##"/>
    <tableColumn id="5" xr3:uid="{ADADD281-7DE6-4022-8E17-CD6699218562}" name="No. Actividad"/>
    <tableColumn id="2" xr3:uid="{3981373B-8A38-4473-835E-7A391A8FADE5}" name="Actividad"/>
    <tableColumn id="3" xr3:uid="{2C1A5E48-1AE6-42C2-B5DD-404DB8A38BF2}" name="Issue"/>
    <tableColumn id="6" xr3:uid="{CB68CA6A-0B7C-4E1B-BBBD-13094A984210}" name="Ubicación Imagen"/>
    <tableColumn id="4" xr3:uid="{79071A8B-0C8D-457F-9875-D88F5695B926}" name="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L46"/>
  <sheetViews>
    <sheetView topLeftCell="A3" zoomScale="90" zoomScaleNormal="90" zoomScaleSheetLayoutView="50" workbookViewId="0">
      <selection activeCell="I22" sqref="I22"/>
    </sheetView>
  </sheetViews>
  <sheetFormatPr baseColWidth="10" defaultColWidth="9.140625" defaultRowHeight="15" x14ac:dyDescent="0.25"/>
  <cols>
    <col min="1" max="1" width="3.7109375" style="1" bestFit="1" customWidth="1"/>
    <col min="2" max="2" width="58" style="1" customWidth="1"/>
    <col min="3" max="3" width="12.5703125" style="27" bestFit="1" customWidth="1"/>
    <col min="4" max="4" width="10.28515625" style="1" bestFit="1" customWidth="1"/>
    <col min="5" max="6" width="11.28515625" style="1" bestFit="1" customWidth="1"/>
    <col min="7" max="7" width="11.42578125" style="1" customWidth="1"/>
    <col min="8" max="8" width="12.28515625" style="1" customWidth="1"/>
    <col min="9" max="9" width="13.140625" style="1" customWidth="1"/>
    <col min="10" max="10" width="8.28515625" style="1" bestFit="1" customWidth="1"/>
    <col min="11" max="11" width="55" style="1" customWidth="1"/>
    <col min="12" max="16384" width="9.140625" style="1"/>
  </cols>
  <sheetData>
    <row r="1" spans="1:12" ht="69.75" customHeight="1" x14ac:dyDescent="0.25">
      <c r="A1" s="60" t="s">
        <v>21</v>
      </c>
      <c r="B1" s="61"/>
      <c r="C1" s="61"/>
      <c r="D1" s="61"/>
      <c r="E1" s="61"/>
      <c r="F1" s="61"/>
      <c r="G1" s="61"/>
      <c r="H1" s="61"/>
      <c r="I1" s="61"/>
      <c r="J1" s="62"/>
      <c r="K1" s="19"/>
    </row>
    <row r="2" spans="1:12" s="12" customFormat="1" x14ac:dyDescent="0.25">
      <c r="A2" s="13"/>
      <c r="B2" s="15"/>
      <c r="C2" s="23"/>
      <c r="D2" s="13"/>
      <c r="E2" s="13"/>
      <c r="F2" s="13"/>
      <c r="G2" s="13"/>
      <c r="H2" s="13"/>
      <c r="I2" s="13"/>
      <c r="J2" s="13"/>
      <c r="K2" s="17"/>
      <c r="L2" s="22"/>
    </row>
    <row r="3" spans="1:12" s="12" customFormat="1" x14ac:dyDescent="0.25">
      <c r="A3" s="13"/>
      <c r="B3" s="17" t="s">
        <v>8</v>
      </c>
      <c r="C3" s="13"/>
      <c r="D3" s="13"/>
      <c r="E3" s="13"/>
      <c r="F3" s="13"/>
      <c r="G3" s="13"/>
      <c r="H3" s="13"/>
      <c r="I3" s="13"/>
      <c r="J3" s="13"/>
      <c r="K3" s="17"/>
    </row>
    <row r="4" spans="1:12" s="12" customFormat="1" x14ac:dyDescent="0.25">
      <c r="A4" s="13"/>
      <c r="B4" s="15" t="s">
        <v>22</v>
      </c>
      <c r="C4" s="23"/>
      <c r="D4" s="13"/>
      <c r="E4" s="13"/>
      <c r="F4" s="13"/>
      <c r="G4" s="13"/>
      <c r="H4" s="13"/>
      <c r="I4" s="13"/>
      <c r="J4" s="13"/>
      <c r="K4" s="17"/>
    </row>
    <row r="5" spans="1:12" s="12" customFormat="1" x14ac:dyDescent="0.25">
      <c r="A5" s="13"/>
      <c r="B5" s="15" t="s">
        <v>23</v>
      </c>
      <c r="C5" s="23"/>
      <c r="D5" s="13"/>
      <c r="E5" s="13"/>
      <c r="F5" s="13"/>
      <c r="G5" s="13"/>
      <c r="H5" s="13"/>
      <c r="I5" s="13"/>
      <c r="J5" s="13"/>
      <c r="K5" s="17"/>
    </row>
    <row r="6" spans="1:12" s="12" customFormat="1" x14ac:dyDescent="0.25">
      <c r="A6" s="13"/>
      <c r="B6" s="15" t="s">
        <v>17</v>
      </c>
      <c r="C6" s="23"/>
      <c r="D6" s="13"/>
      <c r="E6" s="13"/>
      <c r="F6" s="13"/>
      <c r="G6" s="13"/>
      <c r="H6" s="13"/>
      <c r="I6" s="13"/>
      <c r="J6" s="13"/>
      <c r="K6" s="17"/>
    </row>
    <row r="7" spans="1:12" s="12" customFormat="1" x14ac:dyDescent="0.25">
      <c r="A7" s="14"/>
      <c r="B7" s="16"/>
      <c r="C7" s="24"/>
      <c r="D7" s="14"/>
      <c r="E7" s="14"/>
      <c r="F7" s="14"/>
      <c r="G7" s="14"/>
      <c r="H7" s="14"/>
      <c r="I7" s="14"/>
      <c r="J7" s="14"/>
      <c r="K7" s="18"/>
    </row>
    <row r="8" spans="1:12" ht="25.5" x14ac:dyDescent="0.25">
      <c r="A8" s="2" t="s">
        <v>0</v>
      </c>
      <c r="B8" s="3" t="s">
        <v>1</v>
      </c>
      <c r="C8" s="3" t="s">
        <v>24</v>
      </c>
      <c r="D8" s="2" t="s">
        <v>2</v>
      </c>
      <c r="E8" s="4" t="s">
        <v>3</v>
      </c>
      <c r="F8" s="4" t="s">
        <v>4</v>
      </c>
      <c r="G8" s="5" t="s">
        <v>9</v>
      </c>
      <c r="H8" s="5" t="s">
        <v>10</v>
      </c>
      <c r="I8" s="2" t="s">
        <v>5</v>
      </c>
      <c r="J8" s="6" t="s">
        <v>6</v>
      </c>
      <c r="K8" s="2" t="s">
        <v>7</v>
      </c>
    </row>
    <row r="9" spans="1:12" x14ac:dyDescent="0.25">
      <c r="A9" s="7">
        <v>1</v>
      </c>
      <c r="B9" s="11" t="s">
        <v>18</v>
      </c>
      <c r="C9" s="25" t="s">
        <v>25</v>
      </c>
      <c r="D9" s="10" t="s">
        <v>16</v>
      </c>
      <c r="E9" s="21">
        <v>44441</v>
      </c>
      <c r="F9" s="21">
        <v>44441</v>
      </c>
      <c r="G9" s="21">
        <v>44441</v>
      </c>
      <c r="H9" s="21">
        <v>44441</v>
      </c>
      <c r="I9" s="10" t="s">
        <v>20</v>
      </c>
      <c r="J9" s="8">
        <v>1</v>
      </c>
      <c r="K9" s="9"/>
    </row>
    <row r="10" spans="1:12" x14ac:dyDescent="0.25">
      <c r="A10" s="7">
        <v>2</v>
      </c>
      <c r="B10" s="11" t="s">
        <v>19</v>
      </c>
      <c r="C10" s="25" t="s">
        <v>25</v>
      </c>
      <c r="D10" s="10" t="s">
        <v>16</v>
      </c>
      <c r="E10" s="21">
        <v>44441</v>
      </c>
      <c r="F10" s="21">
        <v>44441</v>
      </c>
      <c r="G10" s="21">
        <v>44441</v>
      </c>
      <c r="H10" s="21">
        <v>44441</v>
      </c>
      <c r="I10" s="10" t="s">
        <v>20</v>
      </c>
      <c r="J10" s="8">
        <v>1</v>
      </c>
      <c r="K10" s="9"/>
    </row>
    <row r="11" spans="1:12" x14ac:dyDescent="0.25">
      <c r="A11" s="7">
        <v>3</v>
      </c>
      <c r="B11" s="11" t="s">
        <v>26</v>
      </c>
      <c r="C11" s="25">
        <v>57</v>
      </c>
      <c r="D11" s="10" t="s">
        <v>16</v>
      </c>
      <c r="E11" s="21">
        <v>44441</v>
      </c>
      <c r="F11" s="21">
        <v>44446</v>
      </c>
      <c r="G11" s="21">
        <v>44441</v>
      </c>
      <c r="H11" s="21">
        <v>44446</v>
      </c>
      <c r="I11" s="10" t="s">
        <v>20</v>
      </c>
      <c r="J11" s="8">
        <v>1</v>
      </c>
      <c r="K11" s="9"/>
    </row>
    <row r="12" spans="1:12" x14ac:dyDescent="0.25">
      <c r="A12" s="7">
        <v>4</v>
      </c>
      <c r="B12" s="11" t="s">
        <v>31</v>
      </c>
      <c r="C12" s="25">
        <v>4</v>
      </c>
      <c r="D12" s="10" t="s">
        <v>16</v>
      </c>
      <c r="E12" s="21">
        <v>44447</v>
      </c>
      <c r="F12" s="21">
        <v>44447</v>
      </c>
      <c r="G12" s="21">
        <v>44446</v>
      </c>
      <c r="H12" s="21">
        <v>44446</v>
      </c>
      <c r="I12" s="10" t="s">
        <v>20</v>
      </c>
      <c r="J12" s="8">
        <v>1</v>
      </c>
      <c r="K12" s="9"/>
    </row>
    <row r="13" spans="1:12" x14ac:dyDescent="0.25">
      <c r="A13" s="7">
        <v>5</v>
      </c>
      <c r="B13" s="41" t="s">
        <v>30</v>
      </c>
      <c r="C13" s="26">
        <v>10</v>
      </c>
      <c r="D13" s="10" t="s">
        <v>16</v>
      </c>
      <c r="E13" s="21">
        <v>44448</v>
      </c>
      <c r="F13" s="21">
        <v>44448</v>
      </c>
      <c r="G13" s="21">
        <v>44446</v>
      </c>
      <c r="H13" s="42">
        <v>44448</v>
      </c>
      <c r="I13" s="10" t="s">
        <v>20</v>
      </c>
      <c r="J13" s="8">
        <v>1</v>
      </c>
      <c r="K13" s="9"/>
    </row>
    <row r="14" spans="1:12" x14ac:dyDescent="0.25">
      <c r="A14" s="7">
        <v>6</v>
      </c>
      <c r="B14" s="11" t="s">
        <v>29</v>
      </c>
      <c r="C14" s="25">
        <v>8</v>
      </c>
      <c r="D14" s="10" t="s">
        <v>16</v>
      </c>
      <c r="E14" s="21">
        <v>44449</v>
      </c>
      <c r="F14" s="21">
        <v>44449</v>
      </c>
      <c r="G14" s="21">
        <v>44447</v>
      </c>
      <c r="H14" s="21">
        <v>44448</v>
      </c>
      <c r="I14" s="10" t="s">
        <v>20</v>
      </c>
      <c r="J14" s="8">
        <v>1</v>
      </c>
      <c r="K14" s="9"/>
    </row>
    <row r="15" spans="1:12" x14ac:dyDescent="0.25">
      <c r="A15" s="7">
        <v>7</v>
      </c>
      <c r="B15" s="11" t="s">
        <v>28</v>
      </c>
      <c r="C15" s="25">
        <v>2</v>
      </c>
      <c r="D15" s="10" t="s">
        <v>16</v>
      </c>
      <c r="E15" s="21">
        <v>44452</v>
      </c>
      <c r="F15" s="21">
        <v>44452</v>
      </c>
      <c r="G15" s="21">
        <v>44448</v>
      </c>
      <c r="H15" s="21">
        <v>44448</v>
      </c>
      <c r="I15" s="10" t="s">
        <v>20</v>
      </c>
      <c r="J15" s="8">
        <v>1</v>
      </c>
      <c r="K15" s="9"/>
    </row>
    <row r="16" spans="1:12" x14ac:dyDescent="0.25">
      <c r="A16" s="7">
        <v>8</v>
      </c>
      <c r="B16" s="11" t="s">
        <v>32</v>
      </c>
      <c r="C16" s="25">
        <v>21</v>
      </c>
      <c r="D16" s="10" t="s">
        <v>16</v>
      </c>
      <c r="E16" s="21">
        <v>44453</v>
      </c>
      <c r="F16" s="21">
        <v>44453</v>
      </c>
      <c r="G16" s="21">
        <v>44448</v>
      </c>
      <c r="H16" s="21">
        <v>44449</v>
      </c>
      <c r="I16" s="10" t="s">
        <v>20</v>
      </c>
      <c r="J16" s="8">
        <v>1</v>
      </c>
      <c r="K16" s="9"/>
    </row>
    <row r="17" spans="1:11" x14ac:dyDescent="0.25">
      <c r="A17" s="7">
        <v>9</v>
      </c>
      <c r="B17" s="11" t="s">
        <v>33</v>
      </c>
      <c r="C17" s="25">
        <v>5</v>
      </c>
      <c r="D17" s="10" t="s">
        <v>16</v>
      </c>
      <c r="E17" s="21">
        <v>44454</v>
      </c>
      <c r="F17" s="21">
        <v>44454</v>
      </c>
      <c r="G17" s="21">
        <v>44449</v>
      </c>
      <c r="H17" s="21">
        <v>44452</v>
      </c>
      <c r="I17" s="10" t="s">
        <v>20</v>
      </c>
      <c r="J17" s="8">
        <v>0.8</v>
      </c>
      <c r="K17" s="9"/>
    </row>
    <row r="18" spans="1:11" ht="15.75" thickBot="1" x14ac:dyDescent="0.3">
      <c r="A18" s="7">
        <v>10</v>
      </c>
      <c r="B18" s="11" t="s">
        <v>27</v>
      </c>
      <c r="C18" s="39">
        <v>17</v>
      </c>
      <c r="D18" s="10" t="s">
        <v>16</v>
      </c>
      <c r="E18" s="21">
        <v>44455</v>
      </c>
      <c r="F18" s="21">
        <v>44459</v>
      </c>
      <c r="G18" s="21">
        <v>44452</v>
      </c>
      <c r="H18" s="21">
        <v>44453</v>
      </c>
      <c r="I18" s="10" t="s">
        <v>20</v>
      </c>
      <c r="J18" s="8">
        <v>1</v>
      </c>
      <c r="K18" s="9"/>
    </row>
    <row r="19" spans="1:11" s="29" customFormat="1" ht="15.75" thickBot="1" x14ac:dyDescent="0.3">
      <c r="A19" s="28"/>
      <c r="C19" s="40">
        <f>SUM(C11:C18)</f>
        <v>124</v>
      </c>
      <c r="D19" s="31"/>
      <c r="E19" s="32"/>
      <c r="F19" s="32"/>
      <c r="G19" s="32"/>
      <c r="H19" s="32"/>
      <c r="I19" s="31"/>
      <c r="J19" s="33"/>
      <c r="K19" s="34"/>
    </row>
    <row r="20" spans="1:11" s="29" customFormat="1" x14ac:dyDescent="0.25">
      <c r="A20" s="28"/>
      <c r="B20" s="35"/>
      <c r="C20" s="36"/>
      <c r="D20" s="31"/>
      <c r="E20" s="32"/>
      <c r="F20" s="32"/>
      <c r="G20" s="32"/>
      <c r="H20" s="32"/>
      <c r="I20" s="31"/>
      <c r="J20" s="33"/>
      <c r="K20" s="34"/>
    </row>
    <row r="21" spans="1:11" s="29" customFormat="1" x14ac:dyDescent="0.25">
      <c r="A21" s="28"/>
      <c r="B21" s="35"/>
      <c r="C21" s="36"/>
      <c r="D21" s="31"/>
      <c r="E21" s="32"/>
      <c r="F21" s="32"/>
      <c r="G21" s="32"/>
      <c r="H21" s="32"/>
      <c r="I21" s="31"/>
      <c r="J21" s="33"/>
      <c r="K21" s="34"/>
    </row>
    <row r="22" spans="1:11" s="29" customFormat="1" x14ac:dyDescent="0.25">
      <c r="A22" s="28"/>
      <c r="B22" s="35"/>
      <c r="C22" s="36"/>
      <c r="D22" s="31"/>
      <c r="E22" s="32"/>
      <c r="F22" s="32"/>
      <c r="G22" s="32"/>
      <c r="H22" s="32"/>
      <c r="I22" s="31"/>
      <c r="J22" s="33"/>
      <c r="K22" s="34"/>
    </row>
    <row r="23" spans="1:11" s="29" customFormat="1" x14ac:dyDescent="0.25">
      <c r="A23" s="28"/>
      <c r="B23" s="35"/>
      <c r="C23" s="36"/>
      <c r="D23" s="31"/>
      <c r="E23" s="37"/>
      <c r="F23" s="37"/>
      <c r="G23" s="37"/>
      <c r="H23" s="37"/>
      <c r="I23" s="31"/>
      <c r="J23" s="33"/>
      <c r="K23" s="34"/>
    </row>
    <row r="24" spans="1:11" s="29" customFormat="1" x14ac:dyDescent="0.25">
      <c r="A24" s="28"/>
      <c r="B24" s="35"/>
      <c r="C24" s="36"/>
      <c r="D24" s="31"/>
      <c r="E24" s="37"/>
      <c r="F24" s="37"/>
      <c r="G24" s="37"/>
      <c r="H24" s="37"/>
      <c r="I24" s="31"/>
      <c r="J24" s="33"/>
      <c r="K24" s="34"/>
    </row>
    <row r="25" spans="1:11" s="29" customFormat="1" x14ac:dyDescent="0.25">
      <c r="A25" s="28"/>
      <c r="B25" s="35"/>
      <c r="C25" s="36"/>
      <c r="D25" s="31"/>
      <c r="E25" s="37"/>
      <c r="F25" s="37"/>
      <c r="G25" s="37"/>
      <c r="H25" s="37"/>
      <c r="I25" s="31"/>
      <c r="J25" s="33"/>
      <c r="K25" s="34"/>
    </row>
    <row r="26" spans="1:11" s="29" customFormat="1" x14ac:dyDescent="0.25">
      <c r="A26" s="28"/>
      <c r="B26" s="35"/>
      <c r="C26" s="36"/>
      <c r="D26" s="31"/>
      <c r="E26" s="37"/>
      <c r="F26" s="37"/>
      <c r="G26" s="37"/>
      <c r="H26" s="37"/>
      <c r="I26" s="31"/>
      <c r="J26" s="33"/>
      <c r="K26" s="34"/>
    </row>
    <row r="27" spans="1:11" s="29" customFormat="1" x14ac:dyDescent="0.25">
      <c r="A27" s="28"/>
      <c r="B27" s="35"/>
      <c r="C27" s="36"/>
      <c r="D27" s="31"/>
      <c r="E27" s="37"/>
      <c r="F27" s="37"/>
      <c r="G27" s="37"/>
      <c r="H27" s="37"/>
      <c r="I27" s="31"/>
      <c r="J27" s="33"/>
      <c r="K27" s="34"/>
    </row>
    <row r="28" spans="1:11" s="29" customFormat="1" x14ac:dyDescent="0.25">
      <c r="A28" s="28"/>
      <c r="B28" s="35"/>
      <c r="C28" s="36"/>
      <c r="D28" s="31"/>
      <c r="E28" s="37"/>
      <c r="F28" s="37"/>
      <c r="G28" s="37"/>
      <c r="H28" s="37"/>
      <c r="I28" s="31"/>
      <c r="J28" s="33"/>
      <c r="K28" s="34"/>
    </row>
    <row r="29" spans="1:11" s="29" customFormat="1" x14ac:dyDescent="0.25">
      <c r="A29" s="28"/>
      <c r="B29" s="35"/>
      <c r="C29" s="36"/>
      <c r="D29" s="31"/>
      <c r="E29" s="37"/>
      <c r="F29" s="37"/>
      <c r="G29" s="37"/>
      <c r="H29" s="37"/>
      <c r="I29" s="31"/>
      <c r="J29" s="33"/>
      <c r="K29" s="34"/>
    </row>
    <row r="30" spans="1:11" s="29" customFormat="1" x14ac:dyDescent="0.25">
      <c r="A30" s="28"/>
      <c r="B30" s="35"/>
      <c r="C30" s="36"/>
      <c r="D30" s="31"/>
      <c r="E30" s="37"/>
      <c r="F30" s="37"/>
      <c r="G30" s="37"/>
      <c r="H30" s="37"/>
      <c r="I30" s="31"/>
      <c r="J30" s="33"/>
      <c r="K30" s="34"/>
    </row>
    <row r="31" spans="1:11" s="29" customFormat="1" x14ac:dyDescent="0.25">
      <c r="A31" s="28"/>
      <c r="B31" s="35"/>
      <c r="C31" s="36"/>
      <c r="D31" s="31"/>
      <c r="E31" s="37"/>
      <c r="F31" s="37"/>
      <c r="G31" s="37"/>
      <c r="H31" s="37"/>
      <c r="I31" s="31"/>
      <c r="J31" s="33"/>
      <c r="K31" s="34"/>
    </row>
    <row r="32" spans="1:11" s="29" customFormat="1" x14ac:dyDescent="0.25">
      <c r="A32" s="28"/>
      <c r="B32" s="35"/>
      <c r="C32" s="36"/>
      <c r="D32" s="31"/>
      <c r="E32" s="37"/>
      <c r="F32" s="37"/>
      <c r="G32" s="37"/>
      <c r="H32" s="37"/>
      <c r="I32" s="31"/>
      <c r="J32" s="33"/>
      <c r="K32" s="34"/>
    </row>
    <row r="33" spans="1:11" s="29" customFormat="1" x14ac:dyDescent="0.25">
      <c r="A33" s="28"/>
      <c r="B33" s="35"/>
      <c r="C33" s="36"/>
      <c r="D33" s="31"/>
      <c r="E33" s="38"/>
      <c r="F33" s="38"/>
      <c r="G33" s="38"/>
      <c r="H33" s="38"/>
      <c r="I33" s="38"/>
      <c r="J33" s="33"/>
      <c r="K33" s="34"/>
    </row>
    <row r="34" spans="1:11" s="29" customFormat="1" x14ac:dyDescent="0.25">
      <c r="A34" s="28"/>
      <c r="B34" s="35"/>
      <c r="C34" s="36"/>
      <c r="D34" s="31"/>
      <c r="E34" s="37"/>
      <c r="F34" s="37"/>
      <c r="G34" s="37"/>
      <c r="H34" s="37"/>
      <c r="I34" s="38"/>
      <c r="J34" s="33"/>
      <c r="K34" s="34"/>
    </row>
    <row r="35" spans="1:11" s="29" customFormat="1" x14ac:dyDescent="0.25">
      <c r="A35" s="28"/>
      <c r="B35" s="35"/>
      <c r="C35" s="36"/>
      <c r="D35" s="31"/>
      <c r="E35" s="37"/>
      <c r="F35" s="37"/>
      <c r="G35" s="37"/>
      <c r="H35" s="37"/>
      <c r="I35" s="38"/>
      <c r="J35" s="33"/>
      <c r="K35" s="34"/>
    </row>
    <row r="36" spans="1:11" s="29" customFormat="1" x14ac:dyDescent="0.25">
      <c r="A36" s="28"/>
      <c r="B36" s="35"/>
      <c r="C36" s="36"/>
      <c r="D36" s="31"/>
      <c r="E36" s="37"/>
      <c r="F36" s="37"/>
      <c r="G36" s="37"/>
      <c r="H36" s="37"/>
      <c r="I36" s="38"/>
      <c r="J36" s="33"/>
      <c r="K36" s="34"/>
    </row>
    <row r="37" spans="1:11" s="29" customFormat="1" x14ac:dyDescent="0.25">
      <c r="A37" s="28"/>
      <c r="B37" s="35"/>
      <c r="C37" s="36"/>
      <c r="D37" s="31"/>
      <c r="E37" s="37"/>
      <c r="F37" s="37"/>
      <c r="G37" s="37"/>
      <c r="H37" s="37"/>
      <c r="I37" s="38"/>
      <c r="J37" s="33"/>
      <c r="K37" s="34"/>
    </row>
    <row r="38" spans="1:11" s="29" customFormat="1" x14ac:dyDescent="0.25">
      <c r="A38" s="28"/>
      <c r="B38" s="35"/>
      <c r="C38" s="36"/>
      <c r="D38" s="31"/>
      <c r="E38" s="37"/>
      <c r="F38" s="37"/>
      <c r="G38" s="37"/>
      <c r="H38" s="37"/>
      <c r="I38" s="38"/>
      <c r="J38" s="33"/>
      <c r="K38" s="34"/>
    </row>
    <row r="39" spans="1:11" s="29" customFormat="1" x14ac:dyDescent="0.25">
      <c r="A39" s="28"/>
      <c r="B39" s="35"/>
      <c r="C39" s="36"/>
      <c r="D39" s="31"/>
      <c r="E39" s="37"/>
      <c r="F39" s="37"/>
      <c r="G39" s="37"/>
      <c r="H39" s="37"/>
      <c r="I39" s="38"/>
      <c r="J39" s="33"/>
      <c r="K39" s="34"/>
    </row>
    <row r="40" spans="1:11" s="29" customFormat="1" x14ac:dyDescent="0.25">
      <c r="A40" s="28"/>
      <c r="B40" s="35"/>
      <c r="C40" s="36"/>
      <c r="D40" s="31"/>
      <c r="E40" s="37"/>
      <c r="F40" s="37"/>
      <c r="G40" s="37"/>
      <c r="H40" s="37"/>
      <c r="I40" s="38"/>
      <c r="J40" s="33"/>
      <c r="K40" s="34"/>
    </row>
    <row r="41" spans="1:11" s="29" customFormat="1" x14ac:dyDescent="0.25">
      <c r="A41" s="28"/>
      <c r="B41" s="35"/>
      <c r="C41" s="36"/>
      <c r="D41" s="31"/>
      <c r="E41" s="37"/>
      <c r="F41" s="37"/>
      <c r="G41" s="37"/>
      <c r="H41" s="37"/>
      <c r="I41" s="38"/>
      <c r="J41" s="33"/>
      <c r="K41" s="34"/>
    </row>
    <row r="42" spans="1:11" s="29" customFormat="1" x14ac:dyDescent="0.25">
      <c r="A42" s="28"/>
      <c r="B42" s="35"/>
      <c r="C42" s="36"/>
      <c r="D42" s="31"/>
      <c r="E42" s="37"/>
      <c r="F42" s="37"/>
      <c r="G42" s="37"/>
      <c r="H42" s="37"/>
      <c r="I42" s="38"/>
      <c r="J42" s="33"/>
      <c r="K42" s="34"/>
    </row>
    <row r="43" spans="1:11" s="29" customFormat="1" x14ac:dyDescent="0.25">
      <c r="A43" s="28"/>
      <c r="B43" s="35"/>
      <c r="C43" s="36"/>
      <c r="D43" s="31"/>
      <c r="E43" s="37"/>
      <c r="F43" s="37"/>
      <c r="G43" s="37"/>
      <c r="H43" s="37"/>
      <c r="I43" s="38"/>
      <c r="J43" s="33"/>
      <c r="K43" s="34"/>
    </row>
    <row r="44" spans="1:11" s="29" customFormat="1" x14ac:dyDescent="0.25">
      <c r="A44" s="28"/>
      <c r="B44" s="35"/>
      <c r="C44" s="36"/>
      <c r="D44" s="31"/>
      <c r="E44" s="37"/>
      <c r="F44" s="37"/>
      <c r="G44" s="37"/>
      <c r="H44" s="37"/>
      <c r="I44" s="38"/>
      <c r="J44" s="33"/>
      <c r="K44" s="34"/>
    </row>
    <row r="45" spans="1:11" s="29" customFormat="1" x14ac:dyDescent="0.25">
      <c r="C45" s="30"/>
    </row>
    <row r="46" spans="1:11" s="29" customFormat="1" x14ac:dyDescent="0.25">
      <c r="C46" s="30"/>
    </row>
  </sheetData>
  <mergeCells count="1">
    <mergeCell ref="A1:J1"/>
  </mergeCells>
  <pageMargins left="0.25" right="0.25" top="0.75" bottom="0.75" header="0.3" footer="0.3"/>
  <pageSetup scale="6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AE31-82F4-4228-AB20-23BBC07B7849}">
  <sheetPr>
    <tabColor rgb="FFFF0000"/>
  </sheetPr>
  <dimension ref="A1:F50"/>
  <sheetViews>
    <sheetView tabSelected="1" zoomScale="90" zoomScaleNormal="90" workbookViewId="0">
      <selection activeCell="C6" sqref="C6"/>
    </sheetView>
  </sheetViews>
  <sheetFormatPr baseColWidth="10" defaultRowHeight="15" x14ac:dyDescent="0.25"/>
  <cols>
    <col min="1" max="1" width="5.140625" bestFit="1" customWidth="1"/>
    <col min="2" max="2" width="16.42578125" customWidth="1"/>
    <col min="3" max="3" width="44.5703125" bestFit="1" customWidth="1"/>
    <col min="4" max="4" width="72.28515625" bestFit="1" customWidth="1"/>
    <col min="5" max="5" width="55.140625" bestFit="1" customWidth="1"/>
    <col min="6" max="6" width="23.5703125" bestFit="1" customWidth="1"/>
  </cols>
  <sheetData>
    <row r="1" spans="1:6" s="20" customFormat="1" x14ac:dyDescent="0.25">
      <c r="A1" s="20" t="s">
        <v>14</v>
      </c>
      <c r="B1" s="20" t="s">
        <v>15</v>
      </c>
      <c r="C1" s="20" t="s">
        <v>11</v>
      </c>
      <c r="D1" s="20" t="s">
        <v>13</v>
      </c>
      <c r="E1" s="20" t="s">
        <v>51</v>
      </c>
      <c r="F1" s="20" t="s">
        <v>12</v>
      </c>
    </row>
    <row r="2" spans="1:6" x14ac:dyDescent="0.25">
      <c r="A2">
        <v>1</v>
      </c>
      <c r="B2" t="s">
        <v>94</v>
      </c>
      <c r="C2" t="s">
        <v>90</v>
      </c>
    </row>
    <row r="3" spans="1:6" x14ac:dyDescent="0.25">
      <c r="A3">
        <v>2</v>
      </c>
      <c r="B3" t="s">
        <v>35</v>
      </c>
      <c r="C3" t="s">
        <v>34</v>
      </c>
      <c r="D3" t="s">
        <v>65</v>
      </c>
      <c r="E3" t="s">
        <v>52</v>
      </c>
    </row>
    <row r="4" spans="1:6" x14ac:dyDescent="0.25">
      <c r="A4">
        <v>3</v>
      </c>
      <c r="B4" t="s">
        <v>36</v>
      </c>
      <c r="D4" t="s">
        <v>66</v>
      </c>
      <c r="E4" t="s">
        <v>52</v>
      </c>
    </row>
    <row r="5" spans="1:6" x14ac:dyDescent="0.25">
      <c r="A5">
        <v>4</v>
      </c>
      <c r="B5" t="s">
        <v>37</v>
      </c>
      <c r="C5" t="s">
        <v>96</v>
      </c>
      <c r="D5" t="s">
        <v>38</v>
      </c>
      <c r="E5" t="s">
        <v>53</v>
      </c>
    </row>
    <row r="6" spans="1:6" x14ac:dyDescent="0.25">
      <c r="A6">
        <v>5</v>
      </c>
      <c r="B6" s="43" t="s">
        <v>39</v>
      </c>
      <c r="C6" t="s">
        <v>97</v>
      </c>
      <c r="D6" t="s">
        <v>67</v>
      </c>
      <c r="E6" t="s">
        <v>55</v>
      </c>
    </row>
    <row r="7" spans="1:6" x14ac:dyDescent="0.25">
      <c r="A7">
        <v>6</v>
      </c>
      <c r="B7" t="s">
        <v>40</v>
      </c>
      <c r="D7" t="s">
        <v>67</v>
      </c>
      <c r="E7" t="s">
        <v>55</v>
      </c>
    </row>
    <row r="8" spans="1:6" x14ac:dyDescent="0.25">
      <c r="A8">
        <v>7</v>
      </c>
      <c r="B8" t="s">
        <v>42</v>
      </c>
      <c r="C8" t="s">
        <v>98</v>
      </c>
      <c r="D8" t="s">
        <v>67</v>
      </c>
      <c r="E8" t="s">
        <v>56</v>
      </c>
    </row>
    <row r="9" spans="1:6" x14ac:dyDescent="0.25">
      <c r="A9">
        <v>8</v>
      </c>
      <c r="B9" t="s">
        <v>41</v>
      </c>
      <c r="D9" t="s">
        <v>67</v>
      </c>
      <c r="E9" t="s">
        <v>56</v>
      </c>
    </row>
    <row r="10" spans="1:6" x14ac:dyDescent="0.25">
      <c r="A10">
        <v>9</v>
      </c>
      <c r="B10" t="s">
        <v>43</v>
      </c>
      <c r="C10" t="s">
        <v>95</v>
      </c>
      <c r="D10" t="s">
        <v>69</v>
      </c>
      <c r="E10" t="s">
        <v>57</v>
      </c>
    </row>
    <row r="11" spans="1:6" x14ac:dyDescent="0.25">
      <c r="A11">
        <v>10</v>
      </c>
      <c r="B11" t="s">
        <v>44</v>
      </c>
      <c r="D11" t="s">
        <v>68</v>
      </c>
      <c r="E11" t="s">
        <v>57</v>
      </c>
    </row>
    <row r="12" spans="1:6" x14ac:dyDescent="0.25">
      <c r="A12">
        <v>11</v>
      </c>
      <c r="B12" t="s">
        <v>45</v>
      </c>
      <c r="D12" t="s">
        <v>70</v>
      </c>
      <c r="E12" t="s">
        <v>57</v>
      </c>
    </row>
    <row r="13" spans="1:6" x14ac:dyDescent="0.25">
      <c r="A13">
        <v>12</v>
      </c>
      <c r="B13" t="s">
        <v>46</v>
      </c>
      <c r="D13" t="s">
        <v>71</v>
      </c>
      <c r="E13" t="s">
        <v>57</v>
      </c>
    </row>
    <row r="14" spans="1:6" x14ac:dyDescent="0.25">
      <c r="A14">
        <v>13</v>
      </c>
      <c r="B14" t="s">
        <v>47</v>
      </c>
      <c r="D14" t="s">
        <v>72</v>
      </c>
      <c r="E14" t="s">
        <v>57</v>
      </c>
    </row>
    <row r="15" spans="1:6" x14ac:dyDescent="0.25">
      <c r="A15">
        <v>14</v>
      </c>
      <c r="B15" t="s">
        <v>48</v>
      </c>
      <c r="D15" t="s">
        <v>85</v>
      </c>
      <c r="E15" t="s">
        <v>57</v>
      </c>
    </row>
    <row r="16" spans="1:6" x14ac:dyDescent="0.25">
      <c r="A16">
        <v>15</v>
      </c>
      <c r="B16" t="s">
        <v>49</v>
      </c>
      <c r="D16" t="s">
        <v>73</v>
      </c>
      <c r="E16" t="s">
        <v>57</v>
      </c>
    </row>
    <row r="17" spans="1:5" x14ac:dyDescent="0.25">
      <c r="A17">
        <v>16</v>
      </c>
      <c r="B17" t="s">
        <v>50</v>
      </c>
      <c r="D17" t="s">
        <v>74</v>
      </c>
      <c r="E17" t="s">
        <v>57</v>
      </c>
    </row>
    <row r="18" spans="1:5" x14ac:dyDescent="0.25">
      <c r="A18">
        <v>18</v>
      </c>
      <c r="B18" t="s">
        <v>84</v>
      </c>
      <c r="C18" t="s">
        <v>100</v>
      </c>
      <c r="D18" t="s">
        <v>86</v>
      </c>
      <c r="E18" t="s">
        <v>58</v>
      </c>
    </row>
    <row r="19" spans="1:5" x14ac:dyDescent="0.25">
      <c r="A19">
        <v>19</v>
      </c>
      <c r="B19" t="s">
        <v>83</v>
      </c>
      <c r="C19" t="s">
        <v>101</v>
      </c>
      <c r="D19" t="s">
        <v>87</v>
      </c>
      <c r="E19" t="s">
        <v>59</v>
      </c>
    </row>
    <row r="20" spans="1:5" x14ac:dyDescent="0.25">
      <c r="A20">
        <v>20</v>
      </c>
      <c r="B20" t="s">
        <v>82</v>
      </c>
      <c r="C20" t="s">
        <v>102</v>
      </c>
      <c r="D20" t="s">
        <v>75</v>
      </c>
      <c r="E20" t="s">
        <v>60</v>
      </c>
    </row>
    <row r="21" spans="1:5" x14ac:dyDescent="0.25">
      <c r="A21">
        <v>21</v>
      </c>
      <c r="B21" t="s">
        <v>81</v>
      </c>
      <c r="C21" t="s">
        <v>103</v>
      </c>
      <c r="D21" t="s">
        <v>76</v>
      </c>
      <c r="E21" t="s">
        <v>61</v>
      </c>
    </row>
    <row r="22" spans="1:5" x14ac:dyDescent="0.25">
      <c r="A22">
        <v>22</v>
      </c>
      <c r="B22" t="s">
        <v>80</v>
      </c>
      <c r="C22" t="s">
        <v>104</v>
      </c>
      <c r="D22" t="s">
        <v>77</v>
      </c>
      <c r="E22" t="s">
        <v>62</v>
      </c>
    </row>
    <row r="23" spans="1:5" s="63" customFormat="1" x14ac:dyDescent="0.25">
      <c r="A23" s="63">
        <v>23</v>
      </c>
      <c r="B23" s="63" t="s">
        <v>54</v>
      </c>
      <c r="C23" s="63" t="s">
        <v>105</v>
      </c>
      <c r="D23" s="63" t="s">
        <v>88</v>
      </c>
      <c r="E23" s="63" t="s">
        <v>63</v>
      </c>
    </row>
    <row r="24" spans="1:5" s="63" customFormat="1" x14ac:dyDescent="0.25">
      <c r="A24" s="63">
        <v>24</v>
      </c>
      <c r="B24" s="63" t="s">
        <v>79</v>
      </c>
      <c r="C24" s="63" t="s">
        <v>99</v>
      </c>
      <c r="D24" s="63" t="s">
        <v>89</v>
      </c>
      <c r="E24" s="63" t="s">
        <v>64</v>
      </c>
    </row>
    <row r="25" spans="1:5" x14ac:dyDescent="0.25">
      <c r="A25">
        <v>25</v>
      </c>
      <c r="B25" t="s">
        <v>78</v>
      </c>
      <c r="D25" t="s">
        <v>67</v>
      </c>
      <c r="E25" t="s">
        <v>64</v>
      </c>
    </row>
    <row r="26" spans="1:5" x14ac:dyDescent="0.25">
      <c r="A26">
        <v>26</v>
      </c>
      <c r="B26" s="44" t="s">
        <v>93</v>
      </c>
      <c r="C26" t="s">
        <v>106</v>
      </c>
    </row>
    <row r="27" spans="1:5" s="63" customFormat="1" x14ac:dyDescent="0.25">
      <c r="A27" s="63">
        <v>27</v>
      </c>
      <c r="B27" s="63" t="s">
        <v>130</v>
      </c>
      <c r="C27" s="63" t="s">
        <v>132</v>
      </c>
      <c r="D27" s="63" t="s">
        <v>133</v>
      </c>
      <c r="E27" s="63" t="s">
        <v>131</v>
      </c>
    </row>
    <row r="28" spans="1:5" s="63" customFormat="1" x14ac:dyDescent="0.25">
      <c r="A28" s="63">
        <v>28</v>
      </c>
      <c r="B28" s="63" t="s">
        <v>134</v>
      </c>
      <c r="C28" s="63" t="s">
        <v>136</v>
      </c>
      <c r="D28" s="63" t="s">
        <v>140</v>
      </c>
      <c r="E28" s="63" t="s">
        <v>137</v>
      </c>
    </row>
    <row r="29" spans="1:5" s="63" customFormat="1" x14ac:dyDescent="0.25">
      <c r="A29" s="63">
        <v>29</v>
      </c>
      <c r="B29" s="63" t="s">
        <v>135</v>
      </c>
      <c r="D29" s="63" t="s">
        <v>141</v>
      </c>
      <c r="E29" s="63" t="s">
        <v>137</v>
      </c>
    </row>
    <row r="30" spans="1:5" s="63" customFormat="1" x14ac:dyDescent="0.25">
      <c r="A30" s="63">
        <v>30</v>
      </c>
      <c r="B30" s="63" t="s">
        <v>138</v>
      </c>
      <c r="D30" s="63" t="s">
        <v>142</v>
      </c>
      <c r="E30" s="63" t="s">
        <v>137</v>
      </c>
    </row>
    <row r="31" spans="1:5" s="63" customFormat="1" x14ac:dyDescent="0.25">
      <c r="A31" s="63">
        <v>31</v>
      </c>
      <c r="B31" s="63" t="s">
        <v>139</v>
      </c>
      <c r="D31" s="63" t="s">
        <v>143</v>
      </c>
      <c r="E31" s="63" t="s">
        <v>137</v>
      </c>
    </row>
    <row r="32" spans="1:5" x14ac:dyDescent="0.25">
      <c r="A32">
        <v>32</v>
      </c>
      <c r="B32" t="s">
        <v>110</v>
      </c>
      <c r="C32" t="s">
        <v>144</v>
      </c>
      <c r="D32" t="s">
        <v>145</v>
      </c>
      <c r="E32" t="s">
        <v>147</v>
      </c>
    </row>
    <row r="33" spans="1:5" x14ac:dyDescent="0.25">
      <c r="A33">
        <v>33</v>
      </c>
      <c r="B33" t="s">
        <v>148</v>
      </c>
      <c r="C33" t="s">
        <v>149</v>
      </c>
      <c r="D33" t="s">
        <v>150</v>
      </c>
      <c r="E33" t="s">
        <v>146</v>
      </c>
    </row>
    <row r="34" spans="1:5" s="63" customFormat="1" x14ac:dyDescent="0.25">
      <c r="A34" s="63">
        <v>34</v>
      </c>
      <c r="B34" s="63" t="s">
        <v>158</v>
      </c>
      <c r="C34" s="63" t="s">
        <v>156</v>
      </c>
      <c r="D34" s="63" t="s">
        <v>153</v>
      </c>
      <c r="E34" s="63" t="s">
        <v>151</v>
      </c>
    </row>
    <row r="35" spans="1:5" s="63" customFormat="1" x14ac:dyDescent="0.25">
      <c r="A35" s="63">
        <v>35</v>
      </c>
      <c r="B35" s="63" t="s">
        <v>159</v>
      </c>
      <c r="C35" s="63" t="s">
        <v>155</v>
      </c>
      <c r="D35" s="63" t="s">
        <v>157</v>
      </c>
      <c r="E35" s="63" t="s">
        <v>154</v>
      </c>
    </row>
    <row r="36" spans="1:5" s="63" customFormat="1" x14ac:dyDescent="0.25">
      <c r="A36" s="63">
        <v>36</v>
      </c>
      <c r="B36" s="63" t="s">
        <v>160</v>
      </c>
      <c r="C36" s="63" t="s">
        <v>162</v>
      </c>
      <c r="D36" s="63" t="s">
        <v>163</v>
      </c>
      <c r="E36" s="63" t="s">
        <v>161</v>
      </c>
    </row>
    <row r="37" spans="1:5" s="63" customFormat="1" x14ac:dyDescent="0.25">
      <c r="A37" s="63">
        <v>37</v>
      </c>
      <c r="B37" s="63" t="s">
        <v>166</v>
      </c>
      <c r="C37" s="63" t="s">
        <v>164</v>
      </c>
      <c r="D37" s="63" t="s">
        <v>124</v>
      </c>
      <c r="E37" s="63" t="s">
        <v>165</v>
      </c>
    </row>
    <row r="38" spans="1:5" s="63" customFormat="1" x14ac:dyDescent="0.25">
      <c r="A38" s="63">
        <v>38</v>
      </c>
      <c r="B38" s="63" t="s">
        <v>111</v>
      </c>
      <c r="C38" s="63" t="s">
        <v>167</v>
      </c>
      <c r="D38" s="63" t="s">
        <v>169</v>
      </c>
      <c r="E38" s="63" t="s">
        <v>168</v>
      </c>
    </row>
    <row r="39" spans="1:5" s="63" customFormat="1" x14ac:dyDescent="0.25">
      <c r="A39" s="63">
        <v>39</v>
      </c>
      <c r="B39" s="63" t="s">
        <v>174</v>
      </c>
      <c r="C39" s="63" t="s">
        <v>170</v>
      </c>
      <c r="D39" s="63" t="s">
        <v>124</v>
      </c>
      <c r="E39" s="63" t="s">
        <v>171</v>
      </c>
    </row>
    <row r="40" spans="1:5" s="63" customFormat="1" x14ac:dyDescent="0.25">
      <c r="A40" s="63">
        <v>40</v>
      </c>
      <c r="B40" s="63" t="s">
        <v>175</v>
      </c>
      <c r="D40" s="63" t="s">
        <v>124</v>
      </c>
      <c r="E40" s="63" t="s">
        <v>171</v>
      </c>
    </row>
    <row r="41" spans="1:5" s="63" customFormat="1" x14ac:dyDescent="0.25">
      <c r="A41" s="63">
        <v>41</v>
      </c>
      <c r="B41" s="63" t="s">
        <v>112</v>
      </c>
      <c r="C41" s="63" t="s">
        <v>173</v>
      </c>
      <c r="D41" s="63" t="s">
        <v>124</v>
      </c>
      <c r="E41" s="63" t="s">
        <v>172</v>
      </c>
    </row>
    <row r="42" spans="1:5" s="63" customFormat="1" x14ac:dyDescent="0.25">
      <c r="A42" s="63">
        <v>42</v>
      </c>
      <c r="B42" s="63" t="s">
        <v>113</v>
      </c>
      <c r="C42" s="63" t="s">
        <v>177</v>
      </c>
      <c r="D42" s="63" t="s">
        <v>191</v>
      </c>
      <c r="E42" s="63" t="s">
        <v>176</v>
      </c>
    </row>
    <row r="43" spans="1:5" s="63" customFormat="1" x14ac:dyDescent="0.25">
      <c r="A43" s="63">
        <v>43</v>
      </c>
      <c r="B43" s="63" t="s">
        <v>188</v>
      </c>
      <c r="C43" s="63" t="s">
        <v>178</v>
      </c>
      <c r="D43" s="63" t="s">
        <v>189</v>
      </c>
      <c r="E43" s="63" t="s">
        <v>179</v>
      </c>
    </row>
    <row r="44" spans="1:5" s="63" customFormat="1" x14ac:dyDescent="0.25">
      <c r="A44" s="63">
        <v>44</v>
      </c>
      <c r="B44" s="63" t="s">
        <v>187</v>
      </c>
      <c r="C44" s="63" t="s">
        <v>181</v>
      </c>
      <c r="D44" s="63" t="s">
        <v>186</v>
      </c>
      <c r="E44" s="63" t="s">
        <v>180</v>
      </c>
    </row>
    <row r="45" spans="1:5" s="63" customFormat="1" x14ac:dyDescent="0.25">
      <c r="A45" s="63">
        <v>45</v>
      </c>
      <c r="B45" s="63" t="s">
        <v>184</v>
      </c>
      <c r="C45" s="63" t="s">
        <v>182</v>
      </c>
      <c r="D45" s="63" t="s">
        <v>185</v>
      </c>
      <c r="E45" s="63" t="s">
        <v>183</v>
      </c>
    </row>
    <row r="46" spans="1:5" s="63" customFormat="1" x14ac:dyDescent="0.25">
      <c r="A46" s="63">
        <v>46</v>
      </c>
      <c r="B46" s="64" t="s">
        <v>114</v>
      </c>
      <c r="C46" s="63" t="s">
        <v>92</v>
      </c>
      <c r="E46" s="63" t="s">
        <v>152</v>
      </c>
    </row>
    <row r="47" spans="1:5" s="63" customFormat="1" x14ac:dyDescent="0.25">
      <c r="A47" s="63">
        <v>47</v>
      </c>
      <c r="B47" s="63" t="s">
        <v>117</v>
      </c>
      <c r="C47" s="63" t="s">
        <v>118</v>
      </c>
      <c r="D47" s="63" t="s">
        <v>190</v>
      </c>
      <c r="E47" s="63" t="s">
        <v>119</v>
      </c>
    </row>
    <row r="48" spans="1:5" s="63" customFormat="1" x14ac:dyDescent="0.25">
      <c r="A48" s="63">
        <v>48</v>
      </c>
      <c r="B48" s="63" t="s">
        <v>122</v>
      </c>
      <c r="C48" s="63" t="s">
        <v>121</v>
      </c>
      <c r="D48" s="63" t="s">
        <v>123</v>
      </c>
      <c r="E48" s="63" t="s">
        <v>120</v>
      </c>
    </row>
    <row r="49" spans="1:5" s="63" customFormat="1" x14ac:dyDescent="0.25">
      <c r="A49" s="63">
        <v>49</v>
      </c>
      <c r="B49" s="63" t="s">
        <v>115</v>
      </c>
      <c r="C49" s="63" t="s">
        <v>126</v>
      </c>
      <c r="D49" s="63" t="s">
        <v>124</v>
      </c>
      <c r="E49" s="63" t="s">
        <v>125</v>
      </c>
    </row>
    <row r="50" spans="1:5" s="63" customFormat="1" x14ac:dyDescent="0.25">
      <c r="A50" s="63">
        <v>50</v>
      </c>
      <c r="B50" s="63" t="s">
        <v>116</v>
      </c>
      <c r="C50" s="63" t="s">
        <v>127</v>
      </c>
      <c r="D50" s="63" t="s">
        <v>129</v>
      </c>
      <c r="E50" s="63" t="s">
        <v>128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1084-BCB3-4F50-80D0-F4E21B4CD3F9}">
  <dimension ref="B1:E5"/>
  <sheetViews>
    <sheetView workbookViewId="0">
      <selection activeCell="E8" sqref="E8"/>
    </sheetView>
  </sheetViews>
  <sheetFormatPr baseColWidth="10" defaultRowHeight="15" x14ac:dyDescent="0.25"/>
  <cols>
    <col min="2" max="2" width="23" bestFit="1" customWidth="1"/>
    <col min="3" max="3" width="8" bestFit="1" customWidth="1"/>
    <col min="4" max="4" width="7.28515625" bestFit="1" customWidth="1"/>
    <col min="5" max="5" width="8.140625" bestFit="1" customWidth="1"/>
  </cols>
  <sheetData>
    <row r="1" spans="2:5" ht="15.75" thickBot="1" x14ac:dyDescent="0.3"/>
    <row r="2" spans="2:5" ht="15.75" thickBot="1" x14ac:dyDescent="0.3">
      <c r="B2" s="50" t="s">
        <v>109</v>
      </c>
      <c r="C2" s="51" t="s">
        <v>90</v>
      </c>
      <c r="D2" s="48" t="s">
        <v>91</v>
      </c>
      <c r="E2" s="49" t="s">
        <v>92</v>
      </c>
    </row>
    <row r="3" spans="2:5" ht="15.75" thickBot="1" x14ac:dyDescent="0.3">
      <c r="B3" s="52" t="s">
        <v>107</v>
      </c>
      <c r="C3" s="53">
        <v>12</v>
      </c>
      <c r="D3" s="54">
        <v>15</v>
      </c>
      <c r="E3" s="55">
        <v>4</v>
      </c>
    </row>
    <row r="4" spans="2:5" ht="15.75" thickBot="1" x14ac:dyDescent="0.3">
      <c r="B4" s="56" t="s">
        <v>108</v>
      </c>
      <c r="C4" s="57">
        <v>25</v>
      </c>
      <c r="D4" s="58">
        <v>19</v>
      </c>
      <c r="E4" s="59">
        <v>4</v>
      </c>
    </row>
    <row r="5" spans="2:5" x14ac:dyDescent="0.25">
      <c r="B5" s="47"/>
      <c r="C5" s="46"/>
      <c r="D5" s="47"/>
      <c r="E5" s="4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92A8DD07B12E4C850E78C91367F54D" ma:contentTypeVersion="4" ma:contentTypeDescription="Crear nuevo documento." ma:contentTypeScope="" ma:versionID="57151e1ccd150df9b8446e2c9fc00c87">
  <xsd:schema xmlns:xsd="http://www.w3.org/2001/XMLSchema" xmlns:xs="http://www.w3.org/2001/XMLSchema" xmlns:p="http://schemas.microsoft.com/office/2006/metadata/properties" xmlns:ns2="ed504187-2c86-431e-b078-2e239402984a" xmlns:ns3="48917f6d-589b-4479-bd25-ba4cd4ced362" targetNamespace="http://schemas.microsoft.com/office/2006/metadata/properties" ma:root="true" ma:fieldsID="671f522b68ae15370a13508a79cfa944" ns2:_="" ns3:_="">
    <xsd:import namespace="ed504187-2c86-431e-b078-2e239402984a"/>
    <xsd:import namespace="48917f6d-589b-4479-bd25-ba4cd4ced3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04187-2c86-431e-b078-2e23940298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17f6d-589b-4479-bd25-ba4cd4ced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E3F76-B8E2-4EA9-871E-45C30E6F9D22}">
  <ds:schemaRefs>
    <ds:schemaRef ds:uri="http://purl.org/dc/terms/"/>
    <ds:schemaRef ds:uri="http://www.w3.org/XML/1998/namespace"/>
    <ds:schemaRef ds:uri="ed504187-2c86-431e-b078-2e239402984a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8917f6d-589b-4479-bd25-ba4cd4ced362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A6D295-EDDE-4324-BBFA-67D6ADFD7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842141-5172-48C8-9E4A-37F742628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04187-2c86-431e-b078-2e239402984a"/>
    <ds:schemaRef ds:uri="48917f6d-589b-4479-bd25-ba4cd4ced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 de Trabajo</vt:lpstr>
      <vt:lpstr>Incidentes del Proyecto</vt:lpstr>
      <vt:lpstr>Consolidado de Errores</vt:lpstr>
      <vt:lpstr>'Plan de Trabajo'!Área_de_impresión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ZEBALLOS BELMAR Francisco</dc:creator>
  <cp:keywords/>
  <dc:description/>
  <cp:lastModifiedBy>Jorge Paz</cp:lastModifiedBy>
  <cp:revision/>
  <cp:lastPrinted>2020-03-16T14:55:16Z</cp:lastPrinted>
  <dcterms:created xsi:type="dcterms:W3CDTF">2015-06-05T18:19:34Z</dcterms:created>
  <dcterms:modified xsi:type="dcterms:W3CDTF">2021-10-06T23:35:58Z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0x0101009E92A8DD07B12E4C850E78C91367F54D</vt:lpwstr>
  </property>
</Properties>
</file>